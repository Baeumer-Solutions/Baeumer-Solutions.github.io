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ratsrechner" sheetId="1" state="visible" r:id="rId1"/>
  </sheets>
  <definedNames>
    <definedName name="_xlnm.Print_Titles" localSheetId="0">'Vorratsrechner'!$11:$11</definedName>
    <definedName name="_xlnm.Print_Area" localSheetId="0">'Vorratsrechner'!$A$1:$G$41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1">
    <font>
      <name val="Calibri"/>
      <family val="2"/>
      <color theme="1"/>
      <sz val="11"/>
      <scheme val="minor"/>
    </font>
    <font>
      <name val="Calibri"/>
      <b val="1"/>
      <color rgb="001B2430"/>
      <sz val="14"/>
    </font>
    <font>
      <name val="Calibri"/>
      <color rgb="005F656C"/>
      <sz val="10"/>
    </font>
    <font>
      <name val="Calibri"/>
      <b val="1"/>
      <color rgb="00FFFFFF"/>
      <sz val="9"/>
    </font>
    <font>
      <name val="Calibri"/>
      <b val="1"/>
      <color rgb="001B2430"/>
      <sz val="10"/>
    </font>
    <font>
      <name val="Calibri"/>
      <b val="1"/>
      <color rgb="00C31212"/>
      <sz val="11"/>
    </font>
    <font>
      <name val="Calibri"/>
      <color rgb="005F656C"/>
      <sz val="9"/>
    </font>
    <font>
      <name val="Calibri"/>
      <b val="1"/>
      <color rgb="001B2430"/>
      <sz val="11"/>
    </font>
    <font>
      <name val="Calibri"/>
      <b val="1"/>
      <color rgb="00C31212"/>
      <sz val="9"/>
    </font>
    <font>
      <name val="Calibri"/>
      <color rgb="001A1A1A"/>
      <sz val="10"/>
    </font>
    <font>
      <name val="Calibri"/>
      <color rgb="009AA3AD"/>
      <sz val="8"/>
    </font>
  </fonts>
  <fills count="7">
    <fill>
      <patternFill/>
    </fill>
    <fill>
      <patternFill patternType="gray125"/>
    </fill>
    <fill>
      <patternFill patternType="solid">
        <fgColor rgb="00C31212"/>
      </patternFill>
    </fill>
    <fill>
      <patternFill patternType="solid">
        <fgColor rgb="001B2430"/>
      </patternFill>
    </fill>
    <fill>
      <patternFill patternType="solid">
        <fgColor rgb="00EEF1F4"/>
      </patternFill>
    </fill>
    <fill>
      <patternFill patternType="solid">
        <fgColor rgb="00FFFFFF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8" customWidth="1" min="4" max="4"/>
    <col width="18" customWidth="1" min="5" max="5"/>
    <col width="14" customWidth="1" min="6" max="6"/>
    <col width="3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3">
      <c r="B3" s="2" t="inlineStr">
        <is>
          <t>PROTECT-12 · NOTVORRAT-RECHNER</t>
        </is>
      </c>
    </row>
    <row r="4">
      <c r="B4" s="3" t="inlineStr">
        <is>
          <t>Tragen Sie unten Personen und Tage ein. Alle Mengen rechnen sich von selbst.</t>
        </is>
      </c>
    </row>
    <row r="6">
      <c r="B6" s="4" t="inlineStr">
        <is>
          <t>IHRE EINGABE</t>
        </is>
      </c>
      <c r="C6" s="5" t="n"/>
      <c r="D6" s="5" t="n"/>
      <c r="E6" s="5" t="n"/>
      <c r="F6" s="5" t="n"/>
    </row>
    <row r="7">
      <c r="B7" s="6" t="inlineStr">
        <is>
          <t>Personen im Haushalt</t>
        </is>
      </c>
      <c r="C7" s="7" t="n">
        <v>4</v>
      </c>
      <c r="D7" s="8" t="inlineStr">
        <is>
          <t>Personen</t>
        </is>
      </c>
      <c r="E7" s="9">
        <f>C7*2.5*C8</f>
        <v/>
      </c>
      <c r="F7" s="8" t="inlineStr">
        <is>
          <t>Liter Wasser gesamt</t>
        </is>
      </c>
    </row>
    <row r="8">
      <c r="B8" s="6" t="inlineStr">
        <is>
          <t>Tage, die Sie abdecken wollen</t>
        </is>
      </c>
      <c r="C8" s="7" t="n">
        <v>10</v>
      </c>
      <c r="D8" s="8" t="inlineStr">
        <is>
          <t>Tage</t>
        </is>
      </c>
      <c r="E8" s="9">
        <f>C7*2200</f>
        <v/>
      </c>
      <c r="F8" s="8" t="inlineStr">
        <is>
          <t>Kilokalorien pro Tag, ganzer Haushalt</t>
        </is>
      </c>
    </row>
    <row r="11" ht="20" customHeight="1">
      <c r="B11" s="4" t="inlineStr">
        <is>
          <t>POSTEN</t>
        </is>
      </c>
      <c r="C11" s="4" t="inlineStr">
        <is>
          <t>JE PERSON, 10 TAGE</t>
        </is>
      </c>
      <c r="D11" s="4" t="inlineStr">
        <is>
          <t>EINHEIT</t>
        </is>
      </c>
      <c r="E11" s="4" t="inlineStr">
        <is>
          <t>IHR BEDARF</t>
        </is>
      </c>
      <c r="F11" s="4" t="inlineStr">
        <is>
          <t>SCHON DA</t>
        </is>
      </c>
    </row>
    <row r="12">
      <c r="B12" s="10" t="inlineStr">
        <is>
          <t>GETRÄNKE</t>
        </is>
      </c>
    </row>
    <row r="13">
      <c r="B13" s="11" t="inlineStr">
        <is>
          <t>Wasser, still</t>
        </is>
      </c>
      <c r="C13" s="12" t="n">
        <v>25</v>
      </c>
      <c r="D13" s="13" t="inlineStr">
        <is>
          <t>Liter</t>
        </is>
      </c>
      <c r="E13" s="14">
        <f>ROUND(C13*$C$7*($C$8/10),2)</f>
        <v/>
      </c>
      <c r="F13" s="15" t="n"/>
    </row>
    <row r="14">
      <c r="B14" s="16" t="inlineStr">
        <is>
          <t>Saft, Tee, haltbare Getränke</t>
        </is>
      </c>
      <c r="C14" s="17" t="n">
        <v>4</v>
      </c>
      <c r="D14" s="18" t="inlineStr">
        <is>
          <t>Liter</t>
        </is>
      </c>
      <c r="E14" s="19">
        <f>ROUND(C14*$C$7*($C$8/10),2)</f>
        <v/>
      </c>
      <c r="F14" s="15" t="n"/>
    </row>
    <row r="15">
      <c r="B15" s="10" t="inlineStr">
        <is>
          <t>GETREIDE UND BEILAGEN</t>
        </is>
      </c>
    </row>
    <row r="16">
      <c r="B16" s="11" t="inlineStr">
        <is>
          <t>Nudeln, Reis, Couscous</t>
        </is>
      </c>
      <c r="C16" s="12" t="n">
        <v>3.5</v>
      </c>
      <c r="D16" s="13" t="inlineStr">
        <is>
          <t>kg</t>
        </is>
      </c>
      <c r="E16" s="14">
        <f>ROUND(C16*$C$7*($C$8/10),2)</f>
        <v/>
      </c>
      <c r="F16" s="15" t="n"/>
    </row>
    <row r="17">
      <c r="B17" s="16" t="inlineStr">
        <is>
          <t>Brot in Dosen, Zwieback, Knäckebrot</t>
        </is>
      </c>
      <c r="C17" s="17" t="n">
        <v>1</v>
      </c>
      <c r="D17" s="18" t="inlineStr">
        <is>
          <t>kg</t>
        </is>
      </c>
      <c r="E17" s="19">
        <f>ROUND(C17*$C$7*($C$8/10),2)</f>
        <v/>
      </c>
      <c r="F17" s="15" t="n"/>
    </row>
    <row r="18">
      <c r="B18" s="11" t="inlineStr">
        <is>
          <t>Mehl, Haferflocken, Müsli</t>
        </is>
      </c>
      <c r="C18" s="12" t="n">
        <v>1</v>
      </c>
      <c r="D18" s="13" t="inlineStr">
        <is>
          <t>kg</t>
        </is>
      </c>
      <c r="E18" s="14">
        <f>ROUND(C18*$C$7*($C$8/10),2)</f>
        <v/>
      </c>
      <c r="F18" s="15" t="n"/>
    </row>
    <row r="19">
      <c r="B19" s="16" t="inlineStr">
        <is>
          <t>Kartoffeln oder Kartoffelpüree</t>
        </is>
      </c>
      <c r="C19" s="17" t="n">
        <v>1.5</v>
      </c>
      <c r="D19" s="18" t="inlineStr">
        <is>
          <t>kg</t>
        </is>
      </c>
      <c r="E19" s="19">
        <f>ROUND(C19*$C$7*($C$8/10),2)</f>
        <v/>
      </c>
      <c r="F19" s="15" t="n"/>
    </row>
    <row r="20">
      <c r="B20" s="10" t="inlineStr">
        <is>
          <t>GEMÜSE UND HÜLSENFRÜCHTE</t>
        </is>
      </c>
    </row>
    <row r="21">
      <c r="B21" s="11" t="inlineStr">
        <is>
          <t>Gemüse in Dosen oder Glas</t>
        </is>
      </c>
      <c r="C21" s="12" t="n">
        <v>4</v>
      </c>
      <c r="D21" s="13" t="inlineStr">
        <is>
          <t>kg</t>
        </is>
      </c>
      <c r="E21" s="14">
        <f>ROUND(C21*$C$7*($C$8/10),2)</f>
        <v/>
      </c>
      <c r="F21" s="15" t="n"/>
    </row>
    <row r="22">
      <c r="B22" s="16" t="inlineStr">
        <is>
          <t>Hülsenfrüchte, getrocknet oder Dose</t>
        </is>
      </c>
      <c r="C22" s="17" t="n">
        <v>1</v>
      </c>
      <c r="D22" s="18" t="inlineStr">
        <is>
          <t>kg</t>
        </is>
      </c>
      <c r="E22" s="19">
        <f>ROUND(C22*$C$7*($C$8/10),2)</f>
        <v/>
      </c>
      <c r="F22" s="15" t="n"/>
    </row>
    <row r="23">
      <c r="B23" s="11" t="inlineStr">
        <is>
          <t>Sauerkraut, Rote Bete, eingelegtes Gemüse</t>
        </is>
      </c>
      <c r="C23" s="12" t="n">
        <v>0.5</v>
      </c>
      <c r="D23" s="13" t="inlineStr">
        <is>
          <t>kg</t>
        </is>
      </c>
      <c r="E23" s="14">
        <f>ROUND(C23*$C$7*($C$8/10),2)</f>
        <v/>
      </c>
      <c r="F23" s="15" t="n"/>
    </row>
    <row r="24">
      <c r="B24" s="10" t="inlineStr">
        <is>
          <t>OBST UND NÜSSE</t>
        </is>
      </c>
    </row>
    <row r="25">
      <c r="B25" s="11" t="inlineStr">
        <is>
          <t>Obst in Dosen oder Glas</t>
        </is>
      </c>
      <c r="C25" s="12" t="n">
        <v>2.5</v>
      </c>
      <c r="D25" s="13" t="inlineStr">
        <is>
          <t>kg</t>
        </is>
      </c>
      <c r="E25" s="14">
        <f>ROUND(C25*$C$7*($C$8/10),2)</f>
        <v/>
      </c>
      <c r="F25" s="15" t="n"/>
    </row>
    <row r="26">
      <c r="B26" s="16" t="inlineStr">
        <is>
          <t>Trockenobst, Nüsse</t>
        </is>
      </c>
      <c r="C26" s="17" t="n">
        <v>0.5</v>
      </c>
      <c r="D26" s="18" t="inlineStr">
        <is>
          <t>kg</t>
        </is>
      </c>
      <c r="E26" s="19">
        <f>ROUND(C26*$C$7*($C$8/10),2)</f>
        <v/>
      </c>
      <c r="F26" s="15" t="n"/>
    </row>
    <row r="27">
      <c r="B27" s="10" t="inlineStr">
        <is>
          <t>MILCH UND EIWEISS</t>
        </is>
      </c>
    </row>
    <row r="28">
      <c r="B28" s="11" t="inlineStr">
        <is>
          <t>H-Milch oder Milchpulver</t>
        </is>
      </c>
      <c r="C28" s="12" t="n">
        <v>2.5</v>
      </c>
      <c r="D28" s="13" t="inlineStr">
        <is>
          <t>Liter</t>
        </is>
      </c>
      <c r="E28" s="14">
        <f>ROUND(C28*$C$7*($C$8/10),2)</f>
        <v/>
      </c>
      <c r="F28" s="15" t="n"/>
    </row>
    <row r="29">
      <c r="B29" s="16" t="inlineStr">
        <is>
          <t>Hartkäse, Kondensmilch, Käse in Dosen</t>
        </is>
      </c>
      <c r="C29" s="17" t="n">
        <v>0.5</v>
      </c>
      <c r="D29" s="18" t="inlineStr">
        <is>
          <t>kg</t>
        </is>
      </c>
      <c r="E29" s="19">
        <f>ROUND(C29*$C$7*($C$8/10),2)</f>
        <v/>
      </c>
      <c r="F29" s="15" t="n"/>
    </row>
    <row r="30">
      <c r="B30" s="11" t="inlineStr">
        <is>
          <t>Fisch, Fleisch, Wurst in Dosen</t>
        </is>
      </c>
      <c r="C30" s="12" t="n">
        <v>1.5</v>
      </c>
      <c r="D30" s="13" t="inlineStr">
        <is>
          <t>kg</t>
        </is>
      </c>
      <c r="E30" s="14">
        <f>ROUND(C30*$C$7*($C$8/10),2)</f>
        <v/>
      </c>
      <c r="F30" s="15" t="n"/>
    </row>
    <row r="31">
      <c r="B31" s="10" t="inlineStr">
        <is>
          <t>FETTE UND SONSTIGES</t>
        </is>
      </c>
    </row>
    <row r="32">
      <c r="B32" s="11" t="inlineStr">
        <is>
          <t>Öl, Butterschmalz, Margarine</t>
        </is>
      </c>
      <c r="C32" s="12" t="n">
        <v>0.4</v>
      </c>
      <c r="D32" s="13" t="inlineStr">
        <is>
          <t>kg</t>
        </is>
      </c>
      <c r="E32" s="14">
        <f>ROUND(C32*$C$7*($C$8/10),2)</f>
        <v/>
      </c>
      <c r="F32" s="15" t="n"/>
    </row>
    <row r="34">
      <c r="B34" s="20" t="inlineStr">
        <is>
          <t>Hinweis</t>
        </is>
      </c>
    </row>
    <row r="35">
      <c r="B35" s="8" t="inlineStr">
        <is>
          <t>Richtwerte nach der Logik des BBK-Vorratskalkulators: 2,5 Liter Wasser und rund 2.200 Kilokalorien</t>
        </is>
      </c>
    </row>
    <row r="36">
      <c r="B36" s="8" t="inlineStr">
        <is>
          <t>pro Person und Tag. Die Basismengen in Spalte C gelten für eine erwachsene Person und zehn Tage.</t>
        </is>
      </c>
    </row>
    <row r="37">
      <c r="B37" s="8" t="inlineStr">
        <is>
          <t>Kinder, ältere Menschen, Schwangere, chronisch Kranke und Unverträglichkeiten verschieben den Bedarf.</t>
        </is>
      </c>
    </row>
    <row r="38">
      <c r="B38" s="8" t="inlineStr">
        <is>
          <t>Wer eine Dauermedikation hat oder besondere Ernährung braucht, stimmt den Vorrat ärztlich ab.</t>
        </is>
      </c>
    </row>
    <row r="39">
      <c r="B39" s="8" t="inlineStr">
        <is>
          <t>In Spalte F tragen Sie ein, was schon im Haus ist. Die Differenz zu Spalte E ist Ihre Einkaufsliste.</t>
        </is>
      </c>
    </row>
    <row r="41">
      <c r="B41" s="21" t="inlineStr">
        <is>
          <t>© Protect-12 · Krisenvorsorge mit System · protect-12.de</t>
        </is>
      </c>
    </row>
  </sheetData>
  <dataValidations count="1">
    <dataValidation sqref="C7 C8" showDropDown="0" showInputMessage="0" showErrorMessage="0" allowBlank="0" errorTitle="Ungültige Eingabe" error="Bitte eine ganze Zahl größer als 0 eintragen." type="whole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2026-07-15T17:16:55Z</dcterms:created>
  <dcterms:modified xmlns:dcterms="http://purl.org/dc/terms/" xmlns:xsi="http://www.w3.org/2001/XMLSchema-instance" xsi:type="dcterms:W3CDTF">2026-07-15T17:16:55Z</dcterms:modified>
</cp:coreProperties>
</file>